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OneDrive\Desktop\Sattvik Bhojan\Sales Data\"/>
    </mc:Choice>
  </mc:AlternateContent>
  <bookViews>
    <workbookView xWindow="0" yWindow="0" windowWidth="14380" windowHeight="5580"/>
  </bookViews>
  <sheets>
    <sheet name="Sept2026" sheetId="1" r:id="rId1"/>
  </sheets>
  <definedNames>
    <definedName name="_xlnm._FilterDatabase" localSheetId="0" hidden="1">Sept2026!$A$2:$D$59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4" i="1" l="1"/>
  <c r="C66" i="1"/>
  <c r="C57" i="1" l="1"/>
  <c r="C55" i="1"/>
  <c r="C60" i="1"/>
  <c r="C59" i="1"/>
  <c r="C58" i="1"/>
  <c r="C51" i="1" l="1"/>
  <c r="C49" i="1" l="1"/>
  <c r="C50" i="1"/>
  <c r="C48" i="1" l="1"/>
  <c r="C47" i="1"/>
  <c r="C46" i="1"/>
  <c r="C45" i="1"/>
  <c r="C44" i="1" l="1"/>
  <c r="C43" i="1"/>
  <c r="C42" i="1"/>
  <c r="C34" i="1" l="1"/>
  <c r="C36" i="1"/>
  <c r="C33" i="1"/>
  <c r="C32" i="1"/>
  <c r="C30" i="1"/>
  <c r="C39" i="1"/>
  <c r="C38" i="1"/>
  <c r="C37" i="1"/>
  <c r="C25" i="1" l="1"/>
  <c r="C12" i="1" l="1"/>
  <c r="C16" i="1" l="1"/>
  <c r="C7" i="1" l="1"/>
  <c r="C10" i="1"/>
  <c r="C9" i="1"/>
  <c r="C8" i="1"/>
  <c r="C6" i="1"/>
  <c r="C5" i="1"/>
</calcChain>
</file>

<file path=xl/sharedStrings.xml><?xml version="1.0" encoding="utf-8"?>
<sst xmlns="http://schemas.openxmlformats.org/spreadsheetml/2006/main" count="189" uniqueCount="87">
  <si>
    <t>Sales Data of Sattvik Bhojan of Month Sept ,2026</t>
  </si>
  <si>
    <t>Date</t>
  </si>
  <si>
    <t>Total</t>
  </si>
  <si>
    <t>Mode of Payement</t>
  </si>
  <si>
    <t>2 Bowls of Kadhi</t>
  </si>
  <si>
    <t>20 Chapati</t>
  </si>
  <si>
    <t>1 Kadhi + 0.5 Rajma + Rice</t>
  </si>
  <si>
    <t>Rajma + Rice</t>
  </si>
  <si>
    <t>4 Plates of Kadhi Chawal</t>
  </si>
  <si>
    <t>1 Kadhi + 1 Rajma</t>
  </si>
  <si>
    <t xml:space="preserve">Item </t>
  </si>
  <si>
    <t>1 Kadahi Panner +Kadhi</t>
  </si>
  <si>
    <t>13/9/2026</t>
  </si>
  <si>
    <t xml:space="preserve">1 Kadhi Chalwal+1 Kadahi Panneer </t>
  </si>
  <si>
    <t>14/9/2026</t>
  </si>
  <si>
    <t>14/9/2027</t>
  </si>
  <si>
    <t>14/9/2028</t>
  </si>
  <si>
    <t>2 Plate Rice +2 Plate Chana</t>
  </si>
  <si>
    <t xml:space="preserve">2 Plate Kadahi Panner </t>
  </si>
  <si>
    <t>1 Plate Kadahi Panner +1 Kadhi +2 Plate Rice +1.5 Chana+18 Chapati</t>
  </si>
  <si>
    <t xml:space="preserve">Online </t>
  </si>
  <si>
    <t>15/9/2026</t>
  </si>
  <si>
    <t>5 Plate of Rajma +1 Kadahi</t>
  </si>
  <si>
    <t>19/9/2026</t>
  </si>
  <si>
    <t>1 Plate Kadhi Chalwal</t>
  </si>
  <si>
    <t>1 Bowl of kadhi</t>
  </si>
  <si>
    <t>18/9/2026</t>
  </si>
  <si>
    <t>Cash</t>
  </si>
  <si>
    <t>12 Chapati +1 kadahi Panner +1 Bowl of Rajma</t>
  </si>
  <si>
    <t xml:space="preserve">18/9/2026 </t>
  </si>
  <si>
    <t>Kadahi Panner</t>
  </si>
  <si>
    <t>Tiffin Box</t>
  </si>
  <si>
    <t>Online</t>
  </si>
  <si>
    <t xml:space="preserve">Unkown </t>
  </si>
  <si>
    <t>16/9/2026</t>
  </si>
  <si>
    <t>ZERO SALE</t>
  </si>
  <si>
    <t>NO SALE</t>
  </si>
  <si>
    <t>17/9/2026</t>
  </si>
  <si>
    <t>1 Chana</t>
  </si>
  <si>
    <t>1 Plate of Kadhi +1Mix Veg+4 Chapati+1 Rice</t>
  </si>
  <si>
    <t>Kadahi Chalwal</t>
  </si>
  <si>
    <t>20/9/2026</t>
  </si>
  <si>
    <t>1 Bowl of Kadhi +12 Chapati</t>
  </si>
  <si>
    <t>2 Bowl of Rajma</t>
  </si>
  <si>
    <t>1 Mix Veg + 1 chana</t>
  </si>
  <si>
    <t>21/9/2026</t>
  </si>
  <si>
    <t>22/9/2026</t>
  </si>
  <si>
    <t>1 kadhi + 1 Plate of Rice+1 Mix Veg</t>
  </si>
  <si>
    <t xml:space="preserve">1 kadhi + 4 chapati </t>
  </si>
  <si>
    <t>1 Kadhi + 6 chapati</t>
  </si>
  <si>
    <t>1 Paneer Bhurji</t>
  </si>
  <si>
    <t>1 Bowl of Dal+ Mix Veg</t>
  </si>
  <si>
    <t xml:space="preserve">1 paneer Bhurji + 8 chapati </t>
  </si>
  <si>
    <t xml:space="preserve">1 paneer Bhurji </t>
  </si>
  <si>
    <t>1 Kadahi Paneer + 10 Chapati</t>
  </si>
  <si>
    <t>1 Mater Mushroom + 1 Mix Veg</t>
  </si>
  <si>
    <t>1 mater Mushroom + 2 Chapati</t>
  </si>
  <si>
    <t>1 kadahi +1 Rice +2 Chapati</t>
  </si>
  <si>
    <t>1 Kadahi Panner+Kadhi+Chapati</t>
  </si>
  <si>
    <t>1 Tiffin Box</t>
  </si>
  <si>
    <t>1 Mix veg+6 Chapati</t>
  </si>
  <si>
    <t>2 Matar Mushroom +10 Chapati</t>
  </si>
  <si>
    <t>2 Paneer Bhurji+16 Chapati+1 Mushroom matar</t>
  </si>
  <si>
    <t>N/A</t>
  </si>
  <si>
    <t>23/9/2026</t>
  </si>
  <si>
    <t>1 kadahi +1 Rajma</t>
  </si>
  <si>
    <t>7 Tiffin</t>
  </si>
  <si>
    <t xml:space="preserve">Pending and needs to be collected </t>
  </si>
  <si>
    <t>1 Mushroom + 8 chapati</t>
  </si>
  <si>
    <t>Matar Panner+Rajma+8 Chapati</t>
  </si>
  <si>
    <t>24/9/2026</t>
  </si>
  <si>
    <t>3 Tiffin Box</t>
  </si>
  <si>
    <t>2 Kadahi</t>
  </si>
  <si>
    <t>25 /9/2026</t>
  </si>
  <si>
    <t>26/9/2026</t>
  </si>
  <si>
    <t>2 Tiffin Box</t>
  </si>
  <si>
    <t xml:space="preserve">Online recevied on 26.sept2026 </t>
  </si>
  <si>
    <t>2 Rice</t>
  </si>
  <si>
    <t xml:space="preserve">1 Kadahi Panner </t>
  </si>
  <si>
    <t xml:space="preserve">2 Tiffin Box </t>
  </si>
  <si>
    <t xml:space="preserve">1 Rajma </t>
  </si>
  <si>
    <t>1 Chalwal+1 Kadahi</t>
  </si>
  <si>
    <t>25/9/2026</t>
  </si>
  <si>
    <t>1 Mix Veg</t>
  </si>
  <si>
    <t>6 Chapati+1 Panneer Bhurji+1 Mix Veg</t>
  </si>
  <si>
    <t>1 Panneer Bhurji+1 Rajma</t>
  </si>
  <si>
    <t>2 Kadhi Paneer +17 Chapapti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</si>
</sst>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 wrapText="1"/>
    </xf>
    <xf numFmtId="0" fontId="2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/>
    </xf>
    <xf numFmtId="0" fontId="0" fillId="0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6"/>
  <sheetViews>
    <sheetView tabSelected="1" topLeftCell="A41" zoomScale="99" zoomScaleNormal="99" workbookViewId="0">
      <selection activeCell="C66" sqref="C66"/>
    </sheetView>
  </sheetViews>
  <sheetFormatPr defaultRowHeight="14.5" x14ac:dyDescent="0.35"/>
  <cols>
    <col min="1" max="1" width="16.453125" customWidth="1"/>
    <col min="2" max="2" width="40.26953125" customWidth="1"/>
    <col min="3" max="3" width="13.1796875" customWidth="1"/>
    <col min="4" max="4" width="31.90625" customWidth="1"/>
    <col min="5" max="5" width="17.81640625" customWidth="1"/>
  </cols>
  <sheetData>
    <row r="1" spans="1:5" x14ac:dyDescent="0.35">
      <c r="A1" s="14" t="s">
        <v>0</v>
      </c>
      <c r="B1" s="14"/>
      <c r="C1" s="14"/>
      <c r="D1" s="14"/>
      <c r="E1" s="14"/>
    </row>
    <row r="2" spans="1:5" x14ac:dyDescent="0.35">
      <c r="A2" s="1" t="s">
        <v>1</v>
      </c>
      <c r="B2" s="1" t="s">
        <v>10</v>
      </c>
      <c r="C2" s="1" t="s">
        <v>2</v>
      </c>
      <c r="D2" s="1" t="s">
        <v>3</v>
      </c>
    </row>
    <row r="3" spans="1:5" x14ac:dyDescent="0.35">
      <c r="A3" s="2">
        <v>46304</v>
      </c>
      <c r="B3" s="1" t="s">
        <v>40</v>
      </c>
      <c r="C3" s="1">
        <v>75</v>
      </c>
      <c r="D3" s="1" t="s">
        <v>32</v>
      </c>
    </row>
    <row r="4" spans="1:5" x14ac:dyDescent="0.35">
      <c r="A4" s="2">
        <v>46304</v>
      </c>
      <c r="B4" s="1" t="s">
        <v>39</v>
      </c>
      <c r="C4" s="1">
        <v>120</v>
      </c>
      <c r="D4" s="1" t="s">
        <v>32</v>
      </c>
    </row>
    <row r="5" spans="1:5" x14ac:dyDescent="0.35">
      <c r="A5" s="3">
        <v>46335</v>
      </c>
      <c r="B5" s="4" t="s">
        <v>4</v>
      </c>
      <c r="C5" s="1">
        <f>2*40</f>
        <v>80</v>
      </c>
      <c r="D5" s="1" t="s">
        <v>32</v>
      </c>
    </row>
    <row r="6" spans="1:5" x14ac:dyDescent="0.35">
      <c r="A6" s="3">
        <v>46335</v>
      </c>
      <c r="B6" s="4" t="s">
        <v>5</v>
      </c>
      <c r="C6" s="1">
        <f>5*20</f>
        <v>100</v>
      </c>
      <c r="D6" s="1" t="s">
        <v>32</v>
      </c>
    </row>
    <row r="7" spans="1:5" x14ac:dyDescent="0.35">
      <c r="A7" s="3">
        <v>46365</v>
      </c>
      <c r="B7" s="4" t="s">
        <v>6</v>
      </c>
      <c r="C7" s="1">
        <f>50</f>
        <v>50</v>
      </c>
      <c r="D7" s="1" t="s">
        <v>32</v>
      </c>
    </row>
    <row r="8" spans="1:5" x14ac:dyDescent="0.35">
      <c r="A8" s="3">
        <v>46365</v>
      </c>
      <c r="B8" s="4" t="s">
        <v>7</v>
      </c>
      <c r="C8" s="1">
        <f>35+40</f>
        <v>75</v>
      </c>
      <c r="D8" s="1" t="s">
        <v>32</v>
      </c>
    </row>
    <row r="9" spans="1:5" x14ac:dyDescent="0.35">
      <c r="A9" s="3">
        <v>46365</v>
      </c>
      <c r="B9" s="4" t="s">
        <v>8</v>
      </c>
      <c r="C9" s="1">
        <f>4*40</f>
        <v>160</v>
      </c>
      <c r="D9" s="1" t="s">
        <v>32</v>
      </c>
    </row>
    <row r="10" spans="1:5" x14ac:dyDescent="0.35">
      <c r="A10" s="3">
        <v>46365</v>
      </c>
      <c r="B10" s="4" t="s">
        <v>9</v>
      </c>
      <c r="C10" s="1">
        <f>40+40</f>
        <v>80</v>
      </c>
      <c r="D10" s="1" t="s">
        <v>32</v>
      </c>
    </row>
    <row r="11" spans="1:5" x14ac:dyDescent="0.35">
      <c r="A11" s="2">
        <v>46365</v>
      </c>
      <c r="B11" s="4" t="s">
        <v>11</v>
      </c>
      <c r="C11" s="1">
        <v>130</v>
      </c>
      <c r="D11" s="1" t="s">
        <v>32</v>
      </c>
    </row>
    <row r="12" spans="1:5" x14ac:dyDescent="0.35">
      <c r="A12" s="1" t="s">
        <v>12</v>
      </c>
      <c r="B12" s="5" t="s">
        <v>13</v>
      </c>
      <c r="C12" s="1">
        <f>45+135</f>
        <v>180</v>
      </c>
      <c r="D12" s="1" t="s">
        <v>32</v>
      </c>
    </row>
    <row r="13" spans="1:5" x14ac:dyDescent="0.35">
      <c r="A13" s="1" t="s">
        <v>14</v>
      </c>
      <c r="B13" s="5" t="s">
        <v>17</v>
      </c>
      <c r="C13" s="1">
        <v>150</v>
      </c>
      <c r="D13" s="1" t="s">
        <v>20</v>
      </c>
    </row>
    <row r="14" spans="1:5" x14ac:dyDescent="0.35">
      <c r="A14" s="1" t="s">
        <v>15</v>
      </c>
      <c r="B14" s="5" t="s">
        <v>18</v>
      </c>
      <c r="C14" s="1">
        <v>270</v>
      </c>
      <c r="D14" s="1" t="s">
        <v>20</v>
      </c>
    </row>
    <row r="15" spans="1:5" ht="28" x14ac:dyDescent="0.35">
      <c r="A15" s="1" t="s">
        <v>16</v>
      </c>
      <c r="B15" s="5" t="s">
        <v>19</v>
      </c>
      <c r="C15" s="1">
        <v>400</v>
      </c>
      <c r="D15" s="1" t="s">
        <v>20</v>
      </c>
    </row>
    <row r="16" spans="1:5" x14ac:dyDescent="0.35">
      <c r="A16" s="1" t="s">
        <v>21</v>
      </c>
      <c r="B16" s="5" t="s">
        <v>22</v>
      </c>
      <c r="C16" s="1">
        <f>6*40</f>
        <v>240</v>
      </c>
      <c r="D16" s="1" t="s">
        <v>20</v>
      </c>
    </row>
    <row r="17" spans="1:4" x14ac:dyDescent="0.35">
      <c r="A17" s="6" t="s">
        <v>34</v>
      </c>
      <c r="B17" s="7" t="s">
        <v>35</v>
      </c>
      <c r="C17" s="6" t="s">
        <v>36</v>
      </c>
      <c r="D17" s="6" t="s">
        <v>35</v>
      </c>
    </row>
    <row r="18" spans="1:4" x14ac:dyDescent="0.35">
      <c r="A18" s="8" t="s">
        <v>37</v>
      </c>
      <c r="B18" s="9" t="s">
        <v>38</v>
      </c>
      <c r="C18" s="8">
        <v>40</v>
      </c>
      <c r="D18" s="8" t="s">
        <v>32</v>
      </c>
    </row>
    <row r="19" spans="1:4" x14ac:dyDescent="0.35">
      <c r="A19" s="1" t="s">
        <v>26</v>
      </c>
      <c r="B19" s="5" t="s">
        <v>28</v>
      </c>
      <c r="C19" s="1">
        <v>235</v>
      </c>
      <c r="D19" s="1" t="s">
        <v>27</v>
      </c>
    </row>
    <row r="20" spans="1:4" x14ac:dyDescent="0.35">
      <c r="A20" s="1" t="s">
        <v>26</v>
      </c>
      <c r="B20" s="5" t="s">
        <v>31</v>
      </c>
      <c r="C20" s="1">
        <v>50</v>
      </c>
      <c r="D20" s="1" t="s">
        <v>32</v>
      </c>
    </row>
    <row r="21" spans="1:4" x14ac:dyDescent="0.35">
      <c r="A21" s="1" t="s">
        <v>26</v>
      </c>
      <c r="B21" s="5" t="s">
        <v>33</v>
      </c>
      <c r="C21" s="1">
        <v>150</v>
      </c>
      <c r="D21" s="1" t="s">
        <v>27</v>
      </c>
    </row>
    <row r="22" spans="1:4" x14ac:dyDescent="0.35">
      <c r="A22" s="1" t="s">
        <v>29</v>
      </c>
      <c r="B22" s="5" t="s">
        <v>30</v>
      </c>
      <c r="C22" s="1">
        <v>135</v>
      </c>
      <c r="D22" s="1" t="s">
        <v>32</v>
      </c>
    </row>
    <row r="23" spans="1:4" x14ac:dyDescent="0.35">
      <c r="A23" s="1" t="s">
        <v>23</v>
      </c>
      <c r="B23" s="5" t="s">
        <v>24</v>
      </c>
      <c r="C23" s="1">
        <v>45</v>
      </c>
      <c r="D23" s="1" t="s">
        <v>27</v>
      </c>
    </row>
    <row r="24" spans="1:4" x14ac:dyDescent="0.35">
      <c r="A24" s="1" t="s">
        <v>23</v>
      </c>
      <c r="B24" s="5" t="s">
        <v>25</v>
      </c>
      <c r="C24" s="1">
        <v>40</v>
      </c>
      <c r="D24" s="1" t="s">
        <v>27</v>
      </c>
    </row>
    <row r="25" spans="1:4" x14ac:dyDescent="0.35">
      <c r="A25" s="10" t="s">
        <v>41</v>
      </c>
      <c r="B25" s="5" t="s">
        <v>42</v>
      </c>
      <c r="C25" s="11">
        <f>40+5*12</f>
        <v>100</v>
      </c>
      <c r="D25" s="10" t="s">
        <v>27</v>
      </c>
    </row>
    <row r="26" spans="1:4" x14ac:dyDescent="0.35">
      <c r="A26" s="10" t="s">
        <v>41</v>
      </c>
      <c r="B26" s="5" t="s">
        <v>43</v>
      </c>
      <c r="C26" s="10">
        <v>80</v>
      </c>
      <c r="D26" s="10" t="s">
        <v>27</v>
      </c>
    </row>
    <row r="27" spans="1:4" x14ac:dyDescent="0.35">
      <c r="A27" s="10" t="s">
        <v>41</v>
      </c>
      <c r="B27" s="5" t="s">
        <v>44</v>
      </c>
      <c r="C27" s="10">
        <v>100</v>
      </c>
      <c r="D27" s="10" t="s">
        <v>27</v>
      </c>
    </row>
    <row r="28" spans="1:4" x14ac:dyDescent="0.35">
      <c r="A28" s="10" t="s">
        <v>41</v>
      </c>
      <c r="B28" s="5" t="s">
        <v>31</v>
      </c>
      <c r="C28" s="10">
        <v>70</v>
      </c>
      <c r="D28" s="11" t="s">
        <v>27</v>
      </c>
    </row>
    <row r="29" spans="1:4" x14ac:dyDescent="0.35">
      <c r="A29" s="10" t="s">
        <v>45</v>
      </c>
      <c r="B29" s="5" t="s">
        <v>51</v>
      </c>
      <c r="C29" s="10">
        <v>100</v>
      </c>
      <c r="D29" s="10" t="s">
        <v>27</v>
      </c>
    </row>
    <row r="30" spans="1:4" x14ac:dyDescent="0.35">
      <c r="A30" s="10" t="s">
        <v>45</v>
      </c>
      <c r="B30" s="5" t="s">
        <v>52</v>
      </c>
      <c r="C30" s="11">
        <f>110+5*8</f>
        <v>150</v>
      </c>
      <c r="D30" s="10" t="s">
        <v>32</v>
      </c>
    </row>
    <row r="31" spans="1:4" x14ac:dyDescent="0.35">
      <c r="A31" s="10" t="s">
        <v>45</v>
      </c>
      <c r="B31" s="5" t="s">
        <v>53</v>
      </c>
      <c r="C31" s="10">
        <v>110</v>
      </c>
      <c r="D31" s="10" t="s">
        <v>27</v>
      </c>
    </row>
    <row r="32" spans="1:4" x14ac:dyDescent="0.35">
      <c r="A32" s="10" t="s">
        <v>45</v>
      </c>
      <c r="B32" s="5" t="s">
        <v>54</v>
      </c>
      <c r="C32" s="11">
        <f>135+10*5</f>
        <v>185</v>
      </c>
      <c r="D32" s="10" t="s">
        <v>27</v>
      </c>
    </row>
    <row r="33" spans="1:4" x14ac:dyDescent="0.35">
      <c r="A33" s="10" t="s">
        <v>45</v>
      </c>
      <c r="B33" s="5" t="s">
        <v>55</v>
      </c>
      <c r="C33" s="11">
        <f>90+40</f>
        <v>130</v>
      </c>
      <c r="D33" s="10" t="s">
        <v>32</v>
      </c>
    </row>
    <row r="34" spans="1:4" x14ac:dyDescent="0.35">
      <c r="A34" s="10" t="s">
        <v>45</v>
      </c>
      <c r="B34" s="5" t="s">
        <v>57</v>
      </c>
      <c r="C34" s="11">
        <f>40+35+2*5</f>
        <v>85</v>
      </c>
      <c r="D34" s="10" t="s">
        <v>27</v>
      </c>
    </row>
    <row r="35" spans="1:4" x14ac:dyDescent="0.35">
      <c r="A35" s="10" t="s">
        <v>45</v>
      </c>
      <c r="B35" s="5" t="s">
        <v>58</v>
      </c>
      <c r="C35" s="11">
        <v>250</v>
      </c>
      <c r="D35" s="10" t="s">
        <v>27</v>
      </c>
    </row>
    <row r="36" spans="1:4" x14ac:dyDescent="0.35">
      <c r="A36" s="10" t="s">
        <v>45</v>
      </c>
      <c r="B36" s="5" t="s">
        <v>56</v>
      </c>
      <c r="C36" s="11">
        <f>90+2*5</f>
        <v>100</v>
      </c>
      <c r="D36" s="10" t="s">
        <v>32</v>
      </c>
    </row>
    <row r="37" spans="1:4" x14ac:dyDescent="0.35">
      <c r="A37" s="10" t="s">
        <v>46</v>
      </c>
      <c r="B37" s="11" t="s">
        <v>47</v>
      </c>
      <c r="C37" s="11">
        <f>40+35+40</f>
        <v>115</v>
      </c>
      <c r="D37" s="11" t="s">
        <v>27</v>
      </c>
    </row>
    <row r="38" spans="1:4" x14ac:dyDescent="0.35">
      <c r="A38" s="10" t="s">
        <v>46</v>
      </c>
      <c r="B38" s="11" t="s">
        <v>48</v>
      </c>
      <c r="C38" s="11">
        <f>40+4*5</f>
        <v>60</v>
      </c>
      <c r="D38" s="11" t="s">
        <v>27</v>
      </c>
    </row>
    <row r="39" spans="1:4" x14ac:dyDescent="0.35">
      <c r="A39" s="10" t="s">
        <v>46</v>
      </c>
      <c r="B39" s="11" t="s">
        <v>49</v>
      </c>
      <c r="C39" s="11">
        <f>40+5*6</f>
        <v>70</v>
      </c>
      <c r="D39" s="11" t="s">
        <v>27</v>
      </c>
    </row>
    <row r="40" spans="1:4" x14ac:dyDescent="0.35">
      <c r="A40" s="10" t="s">
        <v>46</v>
      </c>
      <c r="B40" s="11" t="s">
        <v>50</v>
      </c>
      <c r="C40" s="11">
        <v>110</v>
      </c>
      <c r="D40" s="11" t="s">
        <v>32</v>
      </c>
    </row>
    <row r="41" spans="1:4" x14ac:dyDescent="0.35">
      <c r="A41" s="10" t="s">
        <v>46</v>
      </c>
      <c r="B41" s="11" t="s">
        <v>59</v>
      </c>
      <c r="C41" s="11">
        <v>70</v>
      </c>
      <c r="D41" s="11" t="s">
        <v>32</v>
      </c>
    </row>
    <row r="42" spans="1:4" x14ac:dyDescent="0.35">
      <c r="A42" s="10" t="s">
        <v>46</v>
      </c>
      <c r="B42" s="12" t="s">
        <v>60</v>
      </c>
      <c r="C42" s="13">
        <f>40+6*5</f>
        <v>70</v>
      </c>
      <c r="D42" s="12" t="s">
        <v>27</v>
      </c>
    </row>
    <row r="43" spans="1:4" x14ac:dyDescent="0.35">
      <c r="A43" s="10" t="s">
        <v>46</v>
      </c>
      <c r="B43" s="12" t="s">
        <v>61</v>
      </c>
      <c r="C43" s="13">
        <f>110*2+10*5</f>
        <v>270</v>
      </c>
      <c r="D43" s="12" t="s">
        <v>63</v>
      </c>
    </row>
    <row r="44" spans="1:4" x14ac:dyDescent="0.35">
      <c r="A44" s="10" t="s">
        <v>46</v>
      </c>
      <c r="B44" s="12" t="s">
        <v>62</v>
      </c>
      <c r="C44" s="13">
        <f>3*110+16*5</f>
        <v>410</v>
      </c>
      <c r="D44" s="12" t="s">
        <v>27</v>
      </c>
    </row>
    <row r="45" spans="1:4" x14ac:dyDescent="0.35">
      <c r="A45" s="10" t="s">
        <v>64</v>
      </c>
      <c r="B45" s="12" t="s">
        <v>65</v>
      </c>
      <c r="C45" s="13">
        <f>40+40</f>
        <v>80</v>
      </c>
      <c r="D45" s="12" t="s">
        <v>32</v>
      </c>
    </row>
    <row r="46" spans="1:4" x14ac:dyDescent="0.35">
      <c r="A46" s="10" t="s">
        <v>64</v>
      </c>
      <c r="B46" s="12" t="s">
        <v>66</v>
      </c>
      <c r="C46" s="13">
        <f>7*70</f>
        <v>490</v>
      </c>
      <c r="D46" s="12" t="s">
        <v>76</v>
      </c>
    </row>
    <row r="47" spans="1:4" x14ac:dyDescent="0.35">
      <c r="A47" s="10" t="s">
        <v>64</v>
      </c>
      <c r="B47" s="12" t="s">
        <v>68</v>
      </c>
      <c r="C47" s="13">
        <f>110+5*8</f>
        <v>150</v>
      </c>
      <c r="D47" s="12" t="s">
        <v>27</v>
      </c>
    </row>
    <row r="48" spans="1:4" x14ac:dyDescent="0.35">
      <c r="A48" s="10" t="s">
        <v>64</v>
      </c>
      <c r="B48" s="12" t="s">
        <v>69</v>
      </c>
      <c r="C48" s="13">
        <f>135+40+40</f>
        <v>215</v>
      </c>
      <c r="D48" s="12" t="s">
        <v>27</v>
      </c>
    </row>
    <row r="49" spans="1:4" x14ac:dyDescent="0.35">
      <c r="A49" s="10" t="s">
        <v>70</v>
      </c>
      <c r="B49" s="12" t="s">
        <v>38</v>
      </c>
      <c r="C49" s="13">
        <f>40</f>
        <v>40</v>
      </c>
      <c r="D49" s="12" t="s">
        <v>63</v>
      </c>
    </row>
    <row r="50" spans="1:4" x14ac:dyDescent="0.35">
      <c r="A50" s="13" t="s">
        <v>70</v>
      </c>
      <c r="B50" s="12" t="s">
        <v>71</v>
      </c>
      <c r="C50" s="13">
        <f>70*3</f>
        <v>210</v>
      </c>
      <c r="D50" s="12" t="s">
        <v>76</v>
      </c>
    </row>
    <row r="51" spans="1:4" x14ac:dyDescent="0.35">
      <c r="A51" s="10" t="s">
        <v>70</v>
      </c>
      <c r="B51" s="12" t="s">
        <v>72</v>
      </c>
      <c r="C51" s="13">
        <f>40*2</f>
        <v>80</v>
      </c>
      <c r="D51" s="12" t="s">
        <v>63</v>
      </c>
    </row>
    <row r="52" spans="1:4" x14ac:dyDescent="0.35">
      <c r="A52" s="10" t="s">
        <v>70</v>
      </c>
      <c r="B52" s="12" t="s">
        <v>71</v>
      </c>
      <c r="C52" s="13">
        <v>210</v>
      </c>
      <c r="D52" s="12" t="s">
        <v>76</v>
      </c>
    </row>
    <row r="53" spans="1:4" x14ac:dyDescent="0.35">
      <c r="A53" s="10" t="s">
        <v>82</v>
      </c>
      <c r="B53" s="12" t="s">
        <v>31</v>
      </c>
      <c r="C53" s="13">
        <v>70</v>
      </c>
      <c r="D53" s="12" t="s">
        <v>27</v>
      </c>
    </row>
    <row r="54" spans="1:4" x14ac:dyDescent="0.35">
      <c r="A54" s="10" t="s">
        <v>82</v>
      </c>
      <c r="B54" s="12" t="s">
        <v>31</v>
      </c>
      <c r="C54" s="13">
        <v>70</v>
      </c>
      <c r="D54" s="12" t="s">
        <v>63</v>
      </c>
    </row>
    <row r="55" spans="1:4" x14ac:dyDescent="0.35">
      <c r="A55" s="10" t="s">
        <v>82</v>
      </c>
      <c r="B55" s="12" t="s">
        <v>84</v>
      </c>
      <c r="C55" s="13">
        <f>110+40+30</f>
        <v>180</v>
      </c>
      <c r="D55" s="12" t="s">
        <v>27</v>
      </c>
    </row>
    <row r="56" spans="1:4" x14ac:dyDescent="0.35">
      <c r="A56" s="10" t="s">
        <v>82</v>
      </c>
      <c r="B56" s="12" t="s">
        <v>83</v>
      </c>
      <c r="C56" s="13">
        <v>40</v>
      </c>
      <c r="D56" s="12" t="s">
        <v>32</v>
      </c>
    </row>
    <row r="57" spans="1:4" x14ac:dyDescent="0.35">
      <c r="A57" s="10" t="s">
        <v>82</v>
      </c>
      <c r="B57" s="12" t="s">
        <v>85</v>
      </c>
      <c r="C57" s="13">
        <f>110+40</f>
        <v>150</v>
      </c>
      <c r="D57" s="12" t="s">
        <v>27</v>
      </c>
    </row>
    <row r="58" spans="1:4" x14ac:dyDescent="0.35">
      <c r="A58" s="10" t="s">
        <v>73</v>
      </c>
      <c r="B58" s="12" t="s">
        <v>71</v>
      </c>
      <c r="C58" s="13">
        <f>3*70</f>
        <v>210</v>
      </c>
      <c r="D58" s="12" t="s">
        <v>76</v>
      </c>
    </row>
    <row r="59" spans="1:4" x14ac:dyDescent="0.35">
      <c r="A59" s="10" t="s">
        <v>74</v>
      </c>
      <c r="B59" s="13" t="s">
        <v>75</v>
      </c>
      <c r="C59" s="13">
        <f>2*70</f>
        <v>140</v>
      </c>
      <c r="D59" s="12" t="s">
        <v>67</v>
      </c>
    </row>
    <row r="60" spans="1:4" x14ac:dyDescent="0.35">
      <c r="A60" s="10" t="s">
        <v>74</v>
      </c>
      <c r="B60" s="12" t="s">
        <v>77</v>
      </c>
      <c r="C60" s="13">
        <f>35*2</f>
        <v>70</v>
      </c>
      <c r="D60" s="12" t="s">
        <v>32</v>
      </c>
    </row>
    <row r="61" spans="1:4" x14ac:dyDescent="0.35">
      <c r="A61" s="10" t="s">
        <v>74</v>
      </c>
      <c r="B61" s="12" t="s">
        <v>78</v>
      </c>
      <c r="C61" s="13">
        <v>135</v>
      </c>
      <c r="D61" s="12" t="s">
        <v>63</v>
      </c>
    </row>
    <row r="62" spans="1:4" x14ac:dyDescent="0.35">
      <c r="A62" s="10" t="s">
        <v>74</v>
      </c>
      <c r="B62" s="12" t="s">
        <v>79</v>
      </c>
      <c r="C62" s="13">
        <v>140</v>
      </c>
      <c r="D62" s="12" t="s">
        <v>27</v>
      </c>
    </row>
    <row r="63" spans="1:4" x14ac:dyDescent="0.35">
      <c r="A63" s="10" t="s">
        <v>74</v>
      </c>
      <c r="B63" s="12" t="s">
        <v>80</v>
      </c>
      <c r="C63" s="13">
        <v>40</v>
      </c>
      <c r="D63" s="13" t="s">
        <v>27</v>
      </c>
    </row>
    <row r="64" spans="1:4" x14ac:dyDescent="0.35">
      <c r="A64" s="10" t="s">
        <v>74</v>
      </c>
      <c r="B64" s="12" t="s">
        <v>81</v>
      </c>
      <c r="C64" s="13">
        <f>35+40</f>
        <v>75</v>
      </c>
      <c r="D64" s="12" t="s">
        <v>63</v>
      </c>
    </row>
    <row r="65" spans="1:4" x14ac:dyDescent="0.35">
      <c r="A65" s="15" t="s">
        <v>74</v>
      </c>
      <c r="B65" s="16" t="s">
        <v>59</v>
      </c>
      <c r="C65" s="17">
        <v>70</v>
      </c>
      <c r="D65" s="16" t="s">
        <v>27</v>
      </c>
    </row>
    <row r="66" spans="1:4" x14ac:dyDescent="0.35">
      <c r="A66" s="15" t="s">
        <v>74</v>
      </c>
      <c r="B66" s="16" t="s">
        <v>86</v>
      </c>
      <c r="C66">
        <f>2*135+17*5</f>
        <v>355</v>
      </c>
      <c r="D66" s="16" t="s">
        <v>27</v>
      </c>
    </row>
  </sheetData>
  <autoFilter ref="A2:D59"/>
  <mergeCells count="1">
    <mergeCell ref="A1:E1"/>
  </mergeCells>
  <conditionalFormatting sqref="A2:D2">
    <cfRule type="colorScale" priority="1">
      <colorScale>
        <cfvo type="min"/>
        <cfvo type="max"/>
        <color theme="0"/>
        <color theme="5"/>
      </colorScale>
    </cfRule>
  </conditionalFormatting>
  <pageMargins left="0.25" right="0.25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Sept2026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2026-09-19T09:54:23Z</cp:lastPrinted>
  <dcterms:created xsi:type="dcterms:W3CDTF">2026-09-12T14:03:28Z</dcterms:created>
  <dcterms:modified xsi:type="dcterms:W3CDTF">2026-09-26T15:21:34Z</dcterms:modified>
</cp:coreProperties>
</file>